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xr:revisionPtr revIDLastSave="0" documentId="8_{048B9442-B5F3-AD4F-9929-9BB2CE095B26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15" i="1"/>
  <c r="K15" i="1"/>
  <c r="J14" i="1"/>
  <c r="K14" i="1"/>
  <c r="J13" i="1"/>
  <c r="K13" i="1"/>
  <c r="J12" i="1"/>
  <c r="K12" i="1"/>
  <c r="J11" i="1"/>
  <c r="K11" i="1"/>
  <c r="J10" i="1"/>
  <c r="K10" i="1"/>
  <c r="J9" i="1"/>
  <c r="K9" i="1"/>
  <c r="J8" i="1"/>
  <c r="K8" i="1"/>
  <c r="K7" i="1"/>
  <c r="J6" i="1"/>
  <c r="K6" i="1"/>
</calcChain>
</file>

<file path=xl/sharedStrings.xml><?xml version="1.0" encoding="utf-8"?>
<sst xmlns="http://schemas.openxmlformats.org/spreadsheetml/2006/main" count="53" uniqueCount="38">
  <si>
    <t>Employee Salary Analysis</t>
  </si>
  <si>
    <t>S.No</t>
  </si>
  <si>
    <t xml:space="preserve">Name </t>
  </si>
  <si>
    <t>First Name</t>
  </si>
  <si>
    <t xml:space="preserve">Last Name </t>
  </si>
  <si>
    <t>DOJ</t>
  </si>
  <si>
    <t>Sal-Jan</t>
  </si>
  <si>
    <t>Sal-Feb</t>
  </si>
  <si>
    <t>Sal-March</t>
  </si>
  <si>
    <t>Sal Total</t>
  </si>
  <si>
    <t>Avg Sal</t>
  </si>
  <si>
    <t>Kanika Sharma</t>
  </si>
  <si>
    <t>Kanika</t>
  </si>
  <si>
    <t>Sharma</t>
  </si>
  <si>
    <t>Peeyush Rathore</t>
  </si>
  <si>
    <t>Peeyush</t>
  </si>
  <si>
    <t>Rathore</t>
  </si>
  <si>
    <t>Ujjwal Sharma</t>
  </si>
  <si>
    <t>Ujjwal</t>
  </si>
  <si>
    <t>Rahul Sharma</t>
  </si>
  <si>
    <t>Rahul</t>
  </si>
  <si>
    <t>Ankit Mishra</t>
  </si>
  <si>
    <t>Ankit</t>
  </si>
  <si>
    <t>Mishra</t>
  </si>
  <si>
    <t>Kunal Katheriya</t>
  </si>
  <si>
    <t>Kunal</t>
  </si>
  <si>
    <t>Katheriya</t>
  </si>
  <si>
    <t>Prince Diwakar</t>
  </si>
  <si>
    <t>Prince</t>
  </si>
  <si>
    <t>Diwakar</t>
  </si>
  <si>
    <t>Prabhakar Sharma</t>
  </si>
  <si>
    <t>Prabhakar</t>
  </si>
  <si>
    <t>Vishu Raghav</t>
  </si>
  <si>
    <t>Vishu</t>
  </si>
  <si>
    <t>Raghav</t>
  </si>
  <si>
    <t>Samaksh Rai</t>
  </si>
  <si>
    <t>Samaksh</t>
  </si>
  <si>
    <t>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</si>
</sst>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_ [$₹-4009]\ * #,##0_ ;_ [$₹-4009]\ * \-#,##0_ ;_ [$₹-4009]\ * &quot;-&quot;??_ ;_ @_ "/>
    <numFmt numFmtId="166" formatCode="_ [$₹-4009]\ * #,##0.00_ ;_ [$₹-4009]\ * \-#,##0.00_ ;_ [$₹-4009]\ * &quot;-&quot;??_ ;_ @_ "/>
    <numFmt numFmtId="167" formatCode="_ [$₹-4009]\ * #,##0_ ;_ [$₹-4009]\ * \-#,##0_ ;_ [$₹-4009]\ * &quot;-&quot;_ ;_ @_ "/>
  </numFmts>
  <fonts count="4" x14ac:knownFonts="1">
    <font>
      <sz val="11"/>
      <color theme="1"/>
      <name val="Calibri"/>
      <family val="2"/>
      <scheme val="minor"/>
    </font>
    <font>
      <b/>
      <sz val="26"/>
      <color rgb="FF000000"/>
      <name val="Franklin Gothic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165" fontId="0" fillId="4" borderId="4" xfId="0" applyNumberFormat="1" applyFont="1" applyFill="1" applyBorder="1" applyAlignment="1">
      <alignment horizontal="center" vertical="center"/>
    </xf>
    <xf numFmtId="165" fontId="0" fillId="0" borderId="4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  <dxf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_ [$₹-4009]\ * #,##0_ ;_ [$₹-4009]\ * \-#,##0_ ;_ [$₹-4009]\ * &quot;-&quot;??_ ;_ @_ 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Sheet2!C5</c:f>
              <c:strCache>
                <c:ptCount val="1"/>
                <c:pt idx="0">
                  <c:v>Sal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Sheet2!$B$6:$B$15</c:f>
              <c:strCache>
                <c:ptCount val="10"/>
                <c:pt idx="0">
                  <c:v>Kanika Sharma</c:v>
                </c:pt>
                <c:pt idx="1">
                  <c:v>Peeyush Rathore</c:v>
                </c:pt>
                <c:pt idx="2">
                  <c:v>Prince Diwakar</c:v>
                </c:pt>
                <c:pt idx="3">
                  <c:v>Kunal Katheriya</c:v>
                </c:pt>
                <c:pt idx="4">
                  <c:v>Ujjwal Sharma</c:v>
                </c:pt>
                <c:pt idx="5">
                  <c:v>Samaksh Rai</c:v>
                </c:pt>
                <c:pt idx="6">
                  <c:v>Prabhakar Sharma</c:v>
                </c:pt>
                <c:pt idx="7">
                  <c:v>Vishu Raghav</c:v>
                </c:pt>
                <c:pt idx="8">
                  <c:v>Ankit Mishra</c:v>
                </c:pt>
                <c:pt idx="9">
                  <c:v>Rahul Sharma</c:v>
                </c:pt>
              </c:strCache>
            </c:strRef>
          </c:cat>
          <c:val>
            <c:numRef>
              <c:f>Sheet2!$C$6:$C$15</c:f>
              <c:numCache>
                <c:formatCode>_ [$₹-4009]\ * #,##0_ ;_ [$₹-4009]\ * \-#,##0_ ;_ [$₹-4009]\ * "-"??_ ;_ @_ </c:formatCode>
                <c:ptCount val="10"/>
                <c:pt idx="0">
                  <c:v>138500</c:v>
                </c:pt>
                <c:pt idx="1">
                  <c:v>130000</c:v>
                </c:pt>
                <c:pt idx="2">
                  <c:v>124000</c:v>
                </c:pt>
                <c:pt idx="3">
                  <c:v>121000</c:v>
                </c:pt>
                <c:pt idx="4">
                  <c:v>121000</c:v>
                </c:pt>
                <c:pt idx="5">
                  <c:v>116800</c:v>
                </c:pt>
                <c:pt idx="6">
                  <c:v>115500</c:v>
                </c:pt>
                <c:pt idx="7">
                  <c:v>114800</c:v>
                </c:pt>
                <c:pt idx="8">
                  <c:v>106200</c:v>
                </c:pt>
                <c:pt idx="9">
                  <c:v>104000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71C6611E-2A0A-42B7-9565-7B6DC6285A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686734343"/>
        <c:axId val="686740487"/>
      </c:barChart>
      <c:catAx>
        <c:axId val="686734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Employee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40487"/>
        <c:crosses val="autoZero"/>
        <c:auto val="1"/>
        <c:lblAlgn val="ctr"/>
        <c:lblOffset val="100"/>
        <c:noMultiLvlLbl val="0"/>
      </c:catAx>
      <c:valAx>
        <c:axId val="686740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Rupees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73434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180975</xdr:rowOff>
    </xdr:from>
    <xdr:to>
      <xdr:col>16</xdr:col>
      <xdr:colOff>333375</xdr:colOff>
      <xdr:row>25</xdr:row>
      <xdr:rowOff>47625</xdr:rowOff>
    </xdr:to>
    <xdr:graphicFrame macro="">
      <xdr:nvGraphicFramePr>
        <xdr:cNvPr id="2" name="Chart 1" descr="Chart type: Clustered Column. 'Sal Total'&#10;&#10;Description automatically generated">
          <a:extLst>
            <a:ext uri="{FF2B5EF4-FFF2-40B4-BE49-F238E27FC236}">
              <a16:creationId xmlns:a16="http://schemas.microsoft.com/office/drawing/2014/main" id="{211672EC-131D-BCAF-4CA3-39D45F7A77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67BBE-6B12-4E8D-85A7-FE61D31F90AD}" name="Table1" displayName="Table1" ref="B5:K15" totalsRowShown="0" headerRowDxfId="16" dataDxfId="14" headerRowBorderDxfId="15" tableBorderDxfId="13" totalsRowBorderDxfId="12">
  <autoFilter ref="B5:K15" xr:uid="{04A67BBE-6B12-4E8D-85A7-FE61D31F90AD}"/>
  <tableColumns count="10">
    <tableColumn id="1" xr3:uid="{C6F3AF1D-A11C-4078-B2E9-A8F66E1AF210}" name="S.No" dataDxfId="11"/>
    <tableColumn id="2" xr3:uid="{0E427C3E-A27F-4797-B9E2-EAD1DE3491B5}" name="Name " dataDxfId="10"/>
    <tableColumn id="3" xr3:uid="{FD1CDA60-47B7-47F5-9DE4-B8AEB3F9F45C}" name="First Name" dataDxfId="9"/>
    <tableColumn id="4" xr3:uid="{A2DAA988-2B53-49F0-B589-ABFCC774E8B0}" name="Last Name " dataDxfId="8"/>
    <tableColumn id="5" xr3:uid="{13C35ECC-3C19-4796-85B0-BC5B6CEC908A}" name="DOJ" dataDxfId="7"/>
    <tableColumn id="6" xr3:uid="{7296E2E5-8058-470A-B3B8-8EB4E2436A87}" name="Sal-Jan" dataDxfId="6"/>
    <tableColumn id="7" xr3:uid="{0BDFA10C-1EAD-481C-9116-20B31362E390}" name="Sal-Feb" dataDxfId="5"/>
    <tableColumn id="8" xr3:uid="{37C7C0CF-7717-4A52-ACAB-81DD99965387}" name="Sal-March" dataDxfId="4"/>
    <tableColumn id="9" xr3:uid="{79ECF7D8-86B0-4A78-8EC4-829BD2F82856}" name="Sal Total" dataDxfId="3">
      <calculatedColumnFormula>SUM(G6:I6)</calculatedColumnFormula>
    </tableColumn>
    <tableColumn id="11" xr3:uid="{7FAE8BC3-E97B-4E94-BF52-19AFAE998C0C}" name="Avg Sal" dataDxfId="2">
      <calculatedColumnFormula>AVERAGE(J6/3)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5"/>
  <sheetViews>
    <sheetView workbookViewId="0">
      <selection activeCell="J5" sqref="J5"/>
    </sheetView>
  </sheetViews>
  <sheetFormatPr defaultRowHeight="15" x14ac:dyDescent="0.2"/>
  <cols>
    <col min="3" max="3" width="17.484375" bestFit="1" customWidth="1"/>
    <col min="6" max="6" width="10.625" bestFit="1" customWidth="1"/>
    <col min="9" max="9" width="15.19921875" bestFit="1" customWidth="1"/>
    <col min="10" max="10" width="13.44921875" bestFit="1" customWidth="1"/>
    <col min="11" max="11" width="12.375" bestFit="1" customWidth="1"/>
  </cols>
  <sheetData>
    <row r="2" spans="2:11" ht="33.75" customHeight="1" x14ac:dyDescent="0.2">
      <c r="B2" s="24" t="s">
        <v>0</v>
      </c>
      <c r="C2" s="24"/>
      <c r="D2" s="24"/>
      <c r="E2" s="24"/>
      <c r="F2" s="24"/>
      <c r="G2" s="24"/>
      <c r="H2" s="24"/>
      <c r="I2" s="24"/>
      <c r="J2" s="24"/>
      <c r="K2" s="24"/>
    </row>
    <row r="3" spans="2:11" ht="33.75" customHeight="1" x14ac:dyDescent="0.2">
      <c r="B3" s="24"/>
      <c r="C3" s="24"/>
      <c r="D3" s="24"/>
      <c r="E3" s="24"/>
      <c r="F3" s="24"/>
      <c r="G3" s="24"/>
      <c r="H3" s="24"/>
      <c r="I3" s="24"/>
      <c r="J3" s="24"/>
      <c r="K3" s="24"/>
    </row>
    <row r="5" spans="2:11" ht="18.75" x14ac:dyDescent="0.2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2:11" x14ac:dyDescent="0.2">
      <c r="B6" s="3">
        <v>1</v>
      </c>
      <c r="C6" s="4" t="s">
        <v>11</v>
      </c>
      <c r="D6" s="4" t="s">
        <v>12</v>
      </c>
      <c r="E6" s="4" t="s">
        <v>13</v>
      </c>
      <c r="F6" s="5">
        <v>45658</v>
      </c>
      <c r="G6" s="6">
        <v>45000</v>
      </c>
      <c r="H6" s="7">
        <v>48000</v>
      </c>
      <c r="I6" s="7">
        <v>45500</v>
      </c>
      <c r="J6" s="7">
        <f>SUM(G6:I6)</f>
        <v>138500</v>
      </c>
      <c r="K6" s="8">
        <f>AVERAGE(J6/3)</f>
        <v>46166.666666666664</v>
      </c>
    </row>
    <row r="7" spans="2:11" ht="15" customHeight="1" x14ac:dyDescent="0.2">
      <c r="B7" s="3">
        <v>2</v>
      </c>
      <c r="C7" s="4" t="s">
        <v>14</v>
      </c>
      <c r="D7" s="4" t="s">
        <v>15</v>
      </c>
      <c r="E7" s="4" t="s">
        <v>16</v>
      </c>
      <c r="F7" s="9">
        <v>45690</v>
      </c>
      <c r="G7" s="7">
        <v>43000</v>
      </c>
      <c r="H7" s="10">
        <v>44000</v>
      </c>
      <c r="I7" s="7">
        <v>43000</v>
      </c>
      <c r="J7" s="7">
        <f>SUM(G7:I7)</f>
        <v>130000</v>
      </c>
      <c r="K7" s="11">
        <f>AVERAGE(J7/3)</f>
        <v>43333.333333333336</v>
      </c>
    </row>
    <row r="8" spans="2:11" ht="18.75" customHeight="1" x14ac:dyDescent="0.2">
      <c r="B8" s="3">
        <v>3</v>
      </c>
      <c r="C8" s="4" t="s">
        <v>17</v>
      </c>
      <c r="D8" s="4" t="s">
        <v>18</v>
      </c>
      <c r="E8" s="4" t="s">
        <v>13</v>
      </c>
      <c r="F8" s="9">
        <v>45722</v>
      </c>
      <c r="G8" s="12">
        <v>39000</v>
      </c>
      <c r="H8" s="10">
        <v>43000</v>
      </c>
      <c r="I8" s="7">
        <v>39000</v>
      </c>
      <c r="J8" s="7">
        <f>SUM(G8:I8)</f>
        <v>121000</v>
      </c>
      <c r="K8" s="11">
        <f>AVERAGE(J8/3)</f>
        <v>40333.333333333336</v>
      </c>
    </row>
    <row r="9" spans="2:11" x14ac:dyDescent="0.2">
      <c r="B9" s="3">
        <v>4</v>
      </c>
      <c r="C9" s="4" t="s">
        <v>19</v>
      </c>
      <c r="D9" s="4" t="s">
        <v>20</v>
      </c>
      <c r="E9" s="4" t="s">
        <v>13</v>
      </c>
      <c r="F9" s="9">
        <v>45754</v>
      </c>
      <c r="G9" s="12">
        <v>36000</v>
      </c>
      <c r="H9" s="10">
        <v>32000</v>
      </c>
      <c r="I9" s="7">
        <v>36000</v>
      </c>
      <c r="J9" s="7">
        <f>SUM(G9:I9)</f>
        <v>104000</v>
      </c>
      <c r="K9" s="11">
        <f>AVERAGE(J9/3)</f>
        <v>34666.666666666664</v>
      </c>
    </row>
    <row r="10" spans="2:11" x14ac:dyDescent="0.2">
      <c r="B10" s="3">
        <v>5</v>
      </c>
      <c r="C10" s="4" t="s">
        <v>21</v>
      </c>
      <c r="D10" s="4" t="s">
        <v>22</v>
      </c>
      <c r="E10" s="4" t="s">
        <v>23</v>
      </c>
      <c r="F10" s="9">
        <v>45786</v>
      </c>
      <c r="G10" s="12">
        <v>33600</v>
      </c>
      <c r="H10" s="10">
        <v>39600</v>
      </c>
      <c r="I10" s="7">
        <v>33000</v>
      </c>
      <c r="J10" s="7">
        <f>SUM(G10:I10)</f>
        <v>106200</v>
      </c>
      <c r="K10" s="11">
        <f>AVERAGE(J10/3)</f>
        <v>35400</v>
      </c>
    </row>
    <row r="11" spans="2:11" x14ac:dyDescent="0.2">
      <c r="B11" s="3">
        <v>6</v>
      </c>
      <c r="C11" s="4" t="s">
        <v>24</v>
      </c>
      <c r="D11" s="4" t="s">
        <v>25</v>
      </c>
      <c r="E11" s="4" t="s">
        <v>26</v>
      </c>
      <c r="F11" s="9">
        <v>45818</v>
      </c>
      <c r="G11" s="12">
        <v>40000</v>
      </c>
      <c r="H11" s="10">
        <v>41000</v>
      </c>
      <c r="I11" s="7">
        <v>40000</v>
      </c>
      <c r="J11" s="7">
        <f>SUM(G11:I11)</f>
        <v>121000</v>
      </c>
      <c r="K11" s="11">
        <f>AVERAGE(J11/3)</f>
        <v>40333.333333333336</v>
      </c>
    </row>
    <row r="12" spans="2:11" x14ac:dyDescent="0.2">
      <c r="B12" s="3">
        <v>7</v>
      </c>
      <c r="C12" s="4" t="s">
        <v>27</v>
      </c>
      <c r="D12" s="4" t="s">
        <v>28</v>
      </c>
      <c r="E12" s="4" t="s">
        <v>29</v>
      </c>
      <c r="F12" s="9">
        <v>45850</v>
      </c>
      <c r="G12" s="12">
        <v>42000</v>
      </c>
      <c r="H12" s="10">
        <v>40000</v>
      </c>
      <c r="I12" s="7">
        <v>42000</v>
      </c>
      <c r="J12" s="7">
        <f>SUM(G12:I12)</f>
        <v>124000</v>
      </c>
      <c r="K12" s="11">
        <f>AVERAGE(J12/3)</f>
        <v>41333.333333333336</v>
      </c>
    </row>
    <row r="13" spans="2:11" x14ac:dyDescent="0.2">
      <c r="B13" s="3">
        <v>8</v>
      </c>
      <c r="C13" s="4" t="s">
        <v>30</v>
      </c>
      <c r="D13" s="4" t="s">
        <v>31</v>
      </c>
      <c r="E13" s="4" t="s">
        <v>13</v>
      </c>
      <c r="F13" s="9">
        <v>45882</v>
      </c>
      <c r="G13" s="12">
        <v>41000</v>
      </c>
      <c r="H13" s="10">
        <v>33000</v>
      </c>
      <c r="I13" s="7">
        <v>41500</v>
      </c>
      <c r="J13" s="7">
        <f>SUM(G13:I13)</f>
        <v>115500</v>
      </c>
      <c r="K13" s="11">
        <f>AVERAGE(J13/3)</f>
        <v>38500</v>
      </c>
    </row>
    <row r="14" spans="2:11" x14ac:dyDescent="0.2">
      <c r="B14" s="13">
        <v>9</v>
      </c>
      <c r="C14" s="14" t="s">
        <v>32</v>
      </c>
      <c r="D14" s="14" t="s">
        <v>33</v>
      </c>
      <c r="E14" s="14" t="s">
        <v>34</v>
      </c>
      <c r="F14" s="15">
        <v>45914</v>
      </c>
      <c r="G14" s="12">
        <v>38600</v>
      </c>
      <c r="H14" s="16">
        <v>37600</v>
      </c>
      <c r="I14" s="6">
        <v>38600</v>
      </c>
      <c r="J14" s="7">
        <f>SUM(G14:I14)</f>
        <v>114800</v>
      </c>
      <c r="K14" s="11">
        <f>AVERAGE(J14/3)</f>
        <v>38266.666666666664</v>
      </c>
    </row>
    <row r="15" spans="2:11" x14ac:dyDescent="0.2">
      <c r="B15" s="13">
        <v>10</v>
      </c>
      <c r="C15" s="14" t="s">
        <v>35</v>
      </c>
      <c r="D15" s="14" t="s">
        <v>36</v>
      </c>
      <c r="E15" s="14" t="s">
        <v>37</v>
      </c>
      <c r="F15" s="15">
        <v>45946</v>
      </c>
      <c r="G15" s="12">
        <v>39000</v>
      </c>
      <c r="H15" s="16">
        <v>38000</v>
      </c>
      <c r="I15" s="6">
        <v>39800</v>
      </c>
      <c r="J15" s="7">
        <f>SUM(G15:I15)</f>
        <v>116800</v>
      </c>
      <c r="K15" s="17">
        <f>AVERAGE(J15/3)</f>
        <v>38933.333333333336</v>
      </c>
    </row>
  </sheetData>
  <mergeCells count="1">
    <mergeCell ref="B2:K3"/>
  </mergeCells>
  <conditionalFormatting sqref="B6:K15">
    <cfRule type="cellIs" dxfId="1" priority="1" stopIfTrue="1" operator="equal">
      <formula>"Sal Total"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93445-F546-4CD9-A3DF-5322043DE70C}">
  <dimension ref="B5:C15"/>
  <sheetViews>
    <sheetView tabSelected="1" workbookViewId="0">
      <selection activeCell="B6" sqref="B6:C15"/>
    </sheetView>
  </sheetViews>
  <sheetFormatPr defaultRowHeight="15" x14ac:dyDescent="0.2"/>
  <cols>
    <col min="2" max="2" width="17.484375" bestFit="1" customWidth="1"/>
    <col min="3" max="3" width="16.8125" customWidth="1"/>
    <col min="4" max="4" width="17.484375" bestFit="1" customWidth="1"/>
    <col min="5" max="5" width="11.1640625" bestFit="1" customWidth="1"/>
  </cols>
  <sheetData>
    <row r="5" spans="2:3" ht="18.75" x14ac:dyDescent="0.2">
      <c r="B5" s="18" t="s">
        <v>2</v>
      </c>
      <c r="C5" s="18" t="s">
        <v>9</v>
      </c>
    </row>
    <row r="6" spans="2:3" x14ac:dyDescent="0.2">
      <c r="B6" s="19" t="s">
        <v>11</v>
      </c>
      <c r="C6" s="22">
        <v>138500</v>
      </c>
    </row>
    <row r="7" spans="2:3" x14ac:dyDescent="0.2">
      <c r="B7" s="20" t="s">
        <v>14</v>
      </c>
      <c r="C7" s="23">
        <v>130000</v>
      </c>
    </row>
    <row r="8" spans="2:3" x14ac:dyDescent="0.2">
      <c r="B8" s="19" t="s">
        <v>27</v>
      </c>
      <c r="C8" s="22">
        <v>124000</v>
      </c>
    </row>
    <row r="9" spans="2:3" x14ac:dyDescent="0.2">
      <c r="B9" s="20" t="s">
        <v>24</v>
      </c>
      <c r="C9" s="23">
        <v>121000</v>
      </c>
    </row>
    <row r="10" spans="2:3" x14ac:dyDescent="0.2">
      <c r="B10" s="19" t="s">
        <v>17</v>
      </c>
      <c r="C10" s="22">
        <v>121000</v>
      </c>
    </row>
    <row r="11" spans="2:3" x14ac:dyDescent="0.2">
      <c r="B11" s="20" t="s">
        <v>35</v>
      </c>
      <c r="C11" s="23">
        <v>116800</v>
      </c>
    </row>
    <row r="12" spans="2:3" x14ac:dyDescent="0.2">
      <c r="B12" s="20" t="s">
        <v>30</v>
      </c>
      <c r="C12" s="23">
        <v>115500</v>
      </c>
    </row>
    <row r="13" spans="2:3" x14ac:dyDescent="0.2">
      <c r="B13" s="19" t="s">
        <v>32</v>
      </c>
      <c r="C13" s="22">
        <v>114800</v>
      </c>
    </row>
    <row r="14" spans="2:3" x14ac:dyDescent="0.2">
      <c r="B14" s="21" t="s">
        <v>21</v>
      </c>
      <c r="C14" s="22">
        <v>106200</v>
      </c>
    </row>
    <row r="15" spans="2:3" x14ac:dyDescent="0.2">
      <c r="B15" s="20" t="s">
        <v>19</v>
      </c>
      <c r="C15" s="23">
        <v>104000</v>
      </c>
    </row>
  </sheetData>
  <sortState xmlns:xlrd2="http://schemas.microsoft.com/office/spreadsheetml/2017/richdata2" ref="B6:C15">
    <sortCondition descending="1" ref="C6:C15"/>
  </sortState>
  <conditionalFormatting sqref="B6:C15">
    <cfRule type="cellIs" dxfId="0" priority="1" stopIfTrue="1" operator="equal">
      <formula>"Sal Total"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KANIKA SHARMA 24SBBS1170097</cp:lastModifiedBy>
  <cp:revision/>
  <dcterms:created xsi:type="dcterms:W3CDTF">2026-01-14T10:37:47Z</dcterms:created>
  <dcterms:modified xsi:type="dcterms:W3CDTF">2026-01-14T11:02:26Z</dcterms:modified>
  <cp:category/>
  <cp:contentStatus/>
</cp:coreProperties>
</file>